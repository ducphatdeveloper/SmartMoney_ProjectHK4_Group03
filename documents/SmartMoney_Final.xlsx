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ucph\Desktop\"/>
    </mc:Choice>
  </mc:AlternateContent>
  <xr:revisionPtr revIDLastSave="0" documentId="13_ncr:1_{FC92E2E3-D9E4-497F-9457-29A781DE50E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hân Công" sheetId="1" r:id="rId1"/>
    <sheet name="Stack Công Nghệ" sheetId="2" r:id="rId2"/>
    <sheet name="GITHUB_LINK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1" i="1" l="1"/>
  <c r="I20" i="1"/>
  <c r="I32" i="1"/>
  <c r="I30" i="1"/>
  <c r="I12" i="1"/>
  <c r="I23" i="1"/>
  <c r="I28" i="1"/>
  <c r="I29" i="1"/>
  <c r="I11" i="1"/>
  <c r="I10" i="1"/>
  <c r="I7" i="1"/>
  <c r="I5" i="1"/>
  <c r="I36" i="1"/>
  <c r="I35" i="1"/>
  <c r="I34" i="1"/>
  <c r="I33" i="1"/>
  <c r="I19" i="1"/>
  <c r="I9" i="1"/>
</calcChain>
</file>

<file path=xl/sharedStrings.xml><?xml version="1.0" encoding="utf-8"?>
<sst xmlns="http://schemas.openxmlformats.org/spreadsheetml/2006/main" count="322" uniqueCount="202">
  <si>
    <t>🗂️  SMARTMONEY – PHÂN CÔNG CÔNG VIỆC  |  19/03/2026 → 23/04/2026</t>
  </si>
  <si>
    <t>Dự án: SmartMoney – gộp Backend + Frontend/Mobile theo từng thành viên · AI = cả nhóm cùng làm</t>
  </si>
  <si>
    <t>#</t>
  </si>
  <si>
    <t>Người Phụ Trách</t>
  </si>
  <si>
    <t>Layer</t>
  </si>
  <si>
    <t>Nhiệm Vụ</t>
  </si>
  <si>
    <t>Công Nghệ</t>
  </si>
  <si>
    <t>Start Date</t>
  </si>
  <si>
    <t>Ngày</t>
  </si>
  <si>
    <t>Tiến Độ</t>
  </si>
  <si>
    <t>1</t>
  </si>
  <si>
    <t>Nam</t>
  </si>
  <si>
    <t>Backend</t>
  </si>
  <si>
    <t xml:space="preserve">  ▸  JWT Authentication &amp; Spring Security</t>
  </si>
  <si>
    <t>tAccounts, tRoles, tPermissions, tRolePermissions, tUserDevices, tNotifications</t>
  </si>
  <si>
    <t>Spring Boot, Spring Security, JWT 0.12.6</t>
  </si>
  <si>
    <t>–</t>
  </si>
  <si>
    <t>✅ Finished</t>
  </si>
  <si>
    <t xml:space="preserve">  ▸  Xác thực email</t>
  </si>
  <si>
    <t>tAccounts</t>
  </si>
  <si>
    <t>Spring Boot</t>
  </si>
  <si>
    <t>⬜ Chưa bắt đầu</t>
  </si>
  <si>
    <t xml:space="preserve">  ▸  Quản lý đa thiết bị đăng nhập (Multi-device)</t>
  </si>
  <si>
    <t>tUserDevices</t>
  </si>
  <si>
    <t>Spring Boot, JWT 0.12.6</t>
  </si>
  <si>
    <t xml:space="preserve">  ▸  Hệ thống thông báo đẩy (Push Notification)</t>
  </si>
  <si>
    <t>tNotifications</t>
  </si>
  <si>
    <t>🔄 50%</t>
  </si>
  <si>
    <t xml:space="preserve">  ▸  Quản lý Role &amp; Permission (phân quyền)</t>
  </si>
  <si>
    <t>tRoles, tPermissions, tRolePermissions</t>
  </si>
  <si>
    <t>Spring Boot, Spring Security</t>
  </si>
  <si>
    <t>Frontend (React)</t>
  </si>
  <si>
    <t xml:space="preserve">  ▸  Admin Dashboard – biểu đồ thống kê người dùng</t>
  </si>
  <si>
    <t>tAccounts, tUserDevices</t>
  </si>
  <si>
    <t>React + Node.js</t>
  </si>
  <si>
    <t xml:space="preserve">  ▸  Frontend Admin (React Web)</t>
  </si>
  <si>
    <t>2</t>
  </si>
  <si>
    <t>Nhật</t>
  </si>
  <si>
    <t xml:space="preserve">  ▸  CRUD Ví (tWallets) – tiền mặt, ngân hàng, ví điện tử</t>
  </si>
  <si>
    <t>tWallets</t>
  </si>
  <si>
    <t>Spring Boot, Spring Data JPA, MapStruct 1.5.5</t>
  </si>
  <si>
    <t xml:space="preserve">  ▸  CRUD Mục tiêu Tiết kiệm (tSavingGoals)</t>
  </si>
  <si>
    <t>tSavingGoals</t>
  </si>
  <si>
    <t xml:space="preserve">  ▸  CRUD Sự kiện tài chính (tEvents)</t>
  </si>
  <si>
    <t>tEvents</t>
  </si>
  <si>
    <t xml:space="preserve">  ▸  CRUD Ngân sách &amp; Danh mục ngân sách (tBudgets)</t>
  </si>
  <si>
    <t>tBudgets, tBudgetCategories</t>
  </si>
  <si>
    <t xml:space="preserve">  ▸  Read Tiền tệ – chỉ sài VNĐ (tCurrencies)</t>
  </si>
  <si>
    <t>tCurrencies</t>
  </si>
  <si>
    <t>Spring Boot, Spring Data JPA</t>
  </si>
  <si>
    <t xml:space="preserve">  ▸  Viết tài liệu dự án</t>
  </si>
  <si>
    <t>Mobile</t>
  </si>
  <si>
    <t xml:space="preserve">  ▸  Xây dựng UI/UX Mobile (Flutter/Dart) – Menu cho toàn giao diện mobile</t>
  </si>
  <si>
    <t>Flutter 3.38.7, Dart SDK ≥3.10.7, Android SDK 30</t>
  </si>
  <si>
    <t xml:space="preserve">  ▸  Biểu đồ thống kê chi tiêu (fl_chart 0.66.2)</t>
  </si>
  <si>
    <t>tTransactions, tBudgets</t>
  </si>
  <si>
    <t>Flutter 3.38.7, fl_chart 0.66.2</t>
  </si>
  <si>
    <t>3</t>
  </si>
  <si>
    <t>Phát</t>
  </si>
  <si>
    <t xml:space="preserve">  ▸  Thiết kế Database tổng thể &amp; quản lý schema, Hướng dẫn nhóm phân công</t>
  </si>
  <si>
    <t>Spring Boot, Spring Data JPA, SQL Server</t>
  </si>
  <si>
    <t xml:space="preserve">  ▸  Thiết kế toàn bộ cấu trúc dự án api, mobile</t>
  </si>
  <si>
    <t>Spring Boot, Flutter (mobile)</t>
  </si>
  <si>
    <t xml:space="preserve">  ▸  Xử lý logic giao dịch Thu/Chi phức tạp</t>
  </si>
  <si>
    <t>tTransactions</t>
  </si>
  <si>
    <t xml:space="preserve">  ▸  Hóa đơn định kỳ &amp; giao dịch lặp lại (tPlannedTransactions)</t>
  </si>
  <si>
    <t>tPlannedTransactions</t>
  </si>
  <si>
    <t xml:space="preserve">  ▸  Quản lý Sổ Nợ – vay &amp; cho vay (tDebts)</t>
  </si>
  <si>
    <t>tDebts</t>
  </si>
  <si>
    <t xml:space="preserve">  ▸  Quản lý danh mục system &amp; user (tCategories)</t>
  </si>
  <si>
    <t>tCategories</t>
  </si>
  <si>
    <t xml:space="preserve">  ▸  Tích hợp API từ 4 module backend (tDebts, tPlannedTransactions, tCategories, tTransactions)</t>
  </si>
  <si>
    <t>tDebts, tPlannedTransactions, tCategories, tTransactions</t>
  </si>
  <si>
    <t>4</t>
  </si>
  <si>
    <t>Duy</t>
  </si>
  <si>
    <t>5</t>
  </si>
  <si>
    <t>Cả nhóm</t>
  </si>
  <si>
    <t>AI</t>
  </si>
  <si>
    <t>Gemini / OpenAI API, Flutter, Spring Boot</t>
  </si>
  <si>
    <t xml:space="preserve">  ▸  Dự đoán ngân sách tối ưu tháng sau (AI Budget)</t>
  </si>
  <si>
    <t xml:space="preserve">  ▸  Phân tích xu hướng chi tiêu &amp; đề xuất cá nhân hóa</t>
  </si>
  <si>
    <t xml:space="preserve">  ▸  Quản lý lịch sử hội thoại AI (tAIConversations)</t>
  </si>
  <si>
    <t>tAIConversations</t>
  </si>
  <si>
    <t>📌  Ghi chú:   ✅ Finished = đã hoàn thành trước sprint, Start/End = –   |   🔄 50% = đang dở tiếp tục   |   ⬜ Chưa bắt đầu = làm trong 19/03–23/04   |   Ngày = End Date − Start Date (ngày lịch)</t>
  </si>
  <si>
    <t>⚙️  SMARTMONEY – STACK CÔNG NGHỆ DỰ ÁN</t>
  </si>
  <si>
    <t>Thông tin phiên bản chính xác để cấu hình môi trường phát triển</t>
  </si>
  <si>
    <t>Thành Phần</t>
  </si>
  <si>
    <t>Phiên Bản</t>
  </si>
  <si>
    <t>Ghi Chú</t>
  </si>
  <si>
    <t>Java JDK</t>
  </si>
  <si>
    <t>21 (v21.0.7)</t>
  </si>
  <si>
    <t>Spring Boot runtime</t>
  </si>
  <si>
    <t>3.5.10</t>
  </si>
  <si>
    <t>Framework chính API Server</t>
  </si>
  <si>
    <t>JJWT</t>
  </si>
  <si>
    <t>0.12.6</t>
  </si>
  <si>
    <t>Backend – Auth</t>
  </si>
  <si>
    <t>jjwt-api, jjwt-impl, jjwt-jackson</t>
  </si>
  <si>
    <t>MapStruct</t>
  </si>
  <si>
    <t>1.5.5.Final</t>
  </si>
  <si>
    <t>Mapping DTO &lt;-&gt; Entity</t>
  </si>
  <si>
    <t>Lombok</t>
  </si>
  <si>
    <t>~1.18.42</t>
  </si>
  <si>
    <t>Giảm boilerplate code</t>
  </si>
  <si>
    <t>6</t>
  </si>
  <si>
    <t>Spring Data JPA</t>
  </si>
  <si>
    <t>Theo Spring Boot</t>
  </si>
  <si>
    <t>Backend – DB</t>
  </si>
  <si>
    <t>ORM, truy vấn database</t>
  </si>
  <si>
    <t>7</t>
  </si>
  <si>
    <t>Spring Security</t>
  </si>
  <si>
    <t>Bảo mật &amp; phân quyền</t>
  </si>
  <si>
    <t>8</t>
  </si>
  <si>
    <t>Spring Validation</t>
  </si>
  <si>
    <t>Kiểm tra dữ liệu đầu vào</t>
  </si>
  <si>
    <t>9</t>
  </si>
  <si>
    <t>MS SQL Server Driver</t>
  </si>
  <si>
    <t>MSSQL JDBC driver</t>
  </si>
  <si>
    <t>10</t>
  </si>
  <si>
    <t>IDE: IntelliJ IDEA</t>
  </si>
  <si>
    <t>2025.3</t>
  </si>
  <si>
    <t>Dev Tool</t>
  </si>
  <si>
    <t>IDE phát triển backend</t>
  </si>
  <si>
    <t>11</t>
  </si>
  <si>
    <t>Flutter SDK</t>
  </si>
  <si>
    <t>3.38.7 (khóa cứng)</t>
  </si>
  <si>
    <t>Framework mobile chính</t>
  </si>
  <si>
    <t>12</t>
  </si>
  <si>
    <t>Dart SDK</t>
  </si>
  <si>
    <t>&gt;=3.10.7 &lt;4.0.0</t>
  </si>
  <si>
    <t>Ngôn ngữ Flutter</t>
  </si>
  <si>
    <t>13</t>
  </si>
  <si>
    <t>Android SDK</t>
  </si>
  <si>
    <t>30 (Pixel 5)</t>
  </si>
  <si>
    <t>Target platform Android</t>
  </si>
  <si>
    <t>14</t>
  </si>
  <si>
    <t>provider</t>
  </si>
  <si>
    <t>^6.1.1</t>
  </si>
  <si>
    <t>Mobile – State</t>
  </si>
  <si>
    <t>Quản lý State toàn app</t>
  </si>
  <si>
    <t>15</t>
  </si>
  <si>
    <t>fl_chart</t>
  </si>
  <si>
    <t>^0.66.2</t>
  </si>
  <si>
    <t>Mobile – UI</t>
  </si>
  <si>
    <t>Biểu đồ thống kê chi tiêu</t>
  </si>
  <si>
    <t>16</t>
  </si>
  <si>
    <t>flutter_secure_storage</t>
  </si>
  <si>
    <t>^9.0.0</t>
  </si>
  <si>
    <t>Mobile – Auth</t>
  </si>
  <si>
    <t>Lưu JWT token an toàn</t>
  </si>
  <si>
    <t>17</t>
  </si>
  <si>
    <t>jwt_decoder</t>
  </si>
  <si>
    <t>^2.0.1</t>
  </si>
  <si>
    <t>Giải mã token lấy Role/Permission</t>
  </si>
  <si>
    <t>18</t>
  </si>
  <si>
    <t>http</t>
  </si>
  <si>
    <t>^1.2.0</t>
  </si>
  <si>
    <t>Gọi REST API Spring Boot</t>
  </si>
  <si>
    <t>19</t>
  </si>
  <si>
    <t>intl</t>
  </si>
  <si>
    <t>^0.20.2</t>
  </si>
  <si>
    <t>Xử lý ngày tháng / i18n</t>
  </si>
  <si>
    <t>20</t>
  </si>
  <si>
    <t>fluttertoast</t>
  </si>
  <si>
    <t>^8.2.4</t>
  </si>
  <si>
    <t>Toast notification đẹp</t>
  </si>
  <si>
    <t>21</t>
  </si>
  <si>
    <t>Latest Stable</t>
  </si>
  <si>
    <t>Web Admin</t>
  </si>
  <si>
    <t>Admin Dashboard Frontend</t>
  </si>
  <si>
    <t>22</t>
  </si>
  <si>
    <t>AssertJ Core</t>
  </si>
  <si>
    <t>3.27.6 (override)</t>
  </si>
  <si>
    <t>Testing</t>
  </si>
  <si>
    <t>Ghi đè để vá lỗi bảo mật</t>
  </si>
  <si>
    <t xml:space="preserve">  ▸  AI Chatbot – nhập liệu bằng text</t>
  </si>
  <si>
    <t>Mobile Frontend</t>
  </si>
  <si>
    <t>Mobile Structure</t>
  </si>
  <si>
    <t>Spring Boot, Firebase</t>
  </si>
  <si>
    <t>Microsoft Office</t>
  </si>
  <si>
    <t>All Database</t>
  </si>
  <si>
    <t>All Modules</t>
  </si>
  <si>
    <t>Bảng DB / Mô tả liên quan</t>
  </si>
  <si>
    <t>tAIConversations, tTransactions, tBudgets</t>
  </si>
  <si>
    <t>tAIConversations, tTransactions, tBudgets…</t>
  </si>
  <si>
    <t>End Date 
( Dự kiến )</t>
  </si>
  <si>
    <t xml:space="preserve">  ▸  Xây dựng cấu trúc flutter, thư viện final, call api từ server cho cả dự án + Login - Logout cơ bản</t>
  </si>
  <si>
    <t>https://github.com/ducphatdeveloper/SmartMoney_ProjectHK4_Group03</t>
  </si>
  <si>
    <t>tEvents, tSavingGoals</t>
  </si>
  <si>
    <t>tWallets, tBudgets</t>
  </si>
  <si>
    <t xml:space="preserve">  ▸  Tích hợp API từ 2 module backend (tWallets, tBudgets)</t>
  </si>
  <si>
    <t xml:space="preserve">  ▸  Tích hợp API từ 2 module backend (tEvents, tSavingGoals)</t>
  </si>
  <si>
    <t xml:space="preserve">  ▸  Tính năng thông báo trong flutter</t>
  </si>
  <si>
    <t xml:space="preserve">  ▸  Register</t>
  </si>
  <si>
    <t xml:space="preserve">  ▸  Login</t>
  </si>
  <si>
    <t>🔄 80%</t>
  </si>
  <si>
    <t>🔄 70%</t>
  </si>
  <si>
    <t>đang làm document review 3 ( wallet xong budget 4/5/2026 bắt đầu làm )</t>
  </si>
  <si>
    <t>Hỗ trợ nhóm merge code fix lỗi, hướng dẫn,….</t>
  </si>
  <si>
    <t>SPRING BOOT SERVER API + Flutter</t>
  </si>
  <si>
    <t>đang fix lại admin, chuẩn bị bổ sung cột tcontacts 4/5/2026</t>
  </si>
  <si>
    <t>Phụ dịch doc sang tiếng việt 4/4/2026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</si>
</sst>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444444"/>
      <name val="Arial"/>
      <charset val="1"/>
    </font>
    <font>
      <b/>
      <sz val="10"/>
      <color rgb="FFFFFFFF"/>
      <name val="Arial"/>
      <charset val="1"/>
    </font>
    <font>
      <b/>
      <sz val="11"/>
      <color rgb="FF2E86C1"/>
      <name val="Arial"/>
      <charset val="1"/>
    </font>
    <font>
      <b/>
      <sz val="8"/>
      <color rgb="FFFFFFFF"/>
      <name val="Arial"/>
      <charset val="1"/>
    </font>
    <font>
      <sz val="9"/>
      <color rgb="FF111111"/>
      <name val="Arial"/>
      <charset val="1"/>
    </font>
    <font>
      <b/>
      <sz val="9"/>
      <color rgb="FF1A3A5C"/>
      <name val="Arial"/>
      <charset val="1"/>
    </font>
    <font>
      <i/>
      <sz val="9"/>
      <color rgb="FF333333"/>
      <name val="Arial"/>
      <charset val="1"/>
    </font>
    <font>
      <sz val="9"/>
      <color rgb="FFAAAAAA"/>
      <name val="Arial"/>
      <charset val="1"/>
    </font>
    <font>
      <b/>
      <i/>
      <sz val="9"/>
      <color rgb="FF155724"/>
      <name val="Arial"/>
      <charset val="1"/>
    </font>
    <font>
      <b/>
      <sz val="9"/>
      <color rgb="FF1A5276"/>
      <name val="Arial"/>
      <charset val="1"/>
    </font>
    <font>
      <b/>
      <sz val="9"/>
      <color rgb="FF7B241C"/>
      <name val="Arial"/>
      <charset val="1"/>
    </font>
    <font>
      <b/>
      <sz val="9"/>
      <color rgb="FF1D6A3D"/>
      <name val="Arial"/>
      <charset val="1"/>
    </font>
    <font>
      <b/>
      <i/>
      <sz val="9"/>
      <color rgb="FF555555"/>
      <name val="Arial"/>
      <charset val="1"/>
    </font>
    <font>
      <b/>
      <i/>
      <sz val="9"/>
      <color rgb="FF856404"/>
      <name val="Arial"/>
      <charset val="1"/>
    </font>
    <font>
      <b/>
      <sz val="11"/>
      <color rgb="FF1E8449"/>
      <name val="Arial"/>
      <charset val="1"/>
    </font>
    <font>
      <b/>
      <sz val="11"/>
      <color rgb="FFCA6F1E"/>
      <name val="Arial"/>
      <charset val="1"/>
    </font>
    <font>
      <b/>
      <sz val="11"/>
      <color rgb="FF7D3C98"/>
      <name val="Arial"/>
      <charset val="1"/>
    </font>
    <font>
      <b/>
      <sz val="11"/>
      <color rgb="FF555555"/>
      <name val="Arial"/>
      <charset val="1"/>
    </font>
    <font>
      <i/>
      <sz val="8"/>
      <color rgb="FF444444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9"/>
      <color rgb="FF111111"/>
      <name val="Arial"/>
      <family val="2"/>
    </font>
    <font>
      <b/>
      <sz val="9"/>
      <color rgb="FF1A3A5C"/>
      <name val="Arial"/>
      <family val="2"/>
    </font>
    <font>
      <u/>
      <sz val="11"/>
      <color theme="10"/>
      <name val="Calibri"/>
      <family val="2"/>
      <charset val="1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EAF2FF"/>
        <bgColor rgb="FFEAF0FB"/>
      </patternFill>
    </fill>
    <fill>
      <patternFill patternType="solid">
        <fgColor rgb="FF2C3E50"/>
        <bgColor rgb="FF1F3864"/>
      </patternFill>
    </fill>
    <fill>
      <patternFill patternType="solid">
        <fgColor rgb="FF2E86C1"/>
        <bgColor rgb="FF1F6FA8"/>
      </patternFill>
    </fill>
    <fill>
      <patternFill patternType="solid">
        <fgColor rgb="FFD6E4F0"/>
        <bgColor rgb="FFE5E8EA"/>
      </patternFill>
    </fill>
    <fill>
      <patternFill patternType="solid">
        <fgColor rgb="FFE8A020"/>
        <bgColor rgb="FFCA6F1E"/>
      </patternFill>
    </fill>
    <fill>
      <patternFill patternType="solid">
        <fgColor rgb="FFFEF9EC"/>
        <bgColor rgb="FFF9F9F9"/>
      </patternFill>
    </fill>
    <fill>
      <patternFill patternType="solid">
        <fgColor rgb="FFF9F9F9"/>
        <bgColor rgb="FFFEF9EC"/>
      </patternFill>
    </fill>
    <fill>
      <patternFill patternType="solid">
        <fgColor rgb="FFD4EDDA"/>
        <bgColor rgb="FFD5F5E3"/>
      </patternFill>
    </fill>
    <fill>
      <patternFill patternType="solid">
        <fgColor rgb="FFEBF5FB"/>
        <bgColor rgb="FFEAF2FF"/>
      </patternFill>
    </fill>
    <fill>
      <patternFill patternType="solid">
        <fgColor rgb="FFFDEDEC"/>
        <bgColor rgb="FFF5EAF9"/>
      </patternFill>
    </fill>
    <fill>
      <patternFill patternType="solid">
        <fgColor rgb="FFEAFAF1"/>
        <bgColor rgb="FFF0FAF4"/>
      </patternFill>
    </fill>
    <fill>
      <patternFill patternType="solid">
        <fgColor rgb="FFFFFFFF"/>
        <bgColor rgb="FFF9F9F9"/>
      </patternFill>
    </fill>
    <fill>
      <patternFill patternType="solid">
        <fgColor rgb="FFFFF3CD"/>
        <bgColor rgb="FFFDEBD0"/>
      </patternFill>
    </fill>
    <fill>
      <patternFill patternType="solid">
        <fgColor rgb="FF1F6FA8"/>
        <bgColor rgb="FF2E86C1"/>
      </patternFill>
    </fill>
    <fill>
      <patternFill patternType="solid">
        <fgColor rgb="FFE5E8EA"/>
        <bgColor rgb="FFEAECEE"/>
      </patternFill>
    </fill>
    <fill>
      <patternFill patternType="solid">
        <fgColor rgb="FF1E8449"/>
        <bgColor rgb="FF1A7A40"/>
      </patternFill>
    </fill>
    <fill>
      <patternFill patternType="solid">
        <fgColor rgb="FFD5F5E3"/>
        <bgColor rgb="FFD4EDDA"/>
      </patternFill>
    </fill>
    <fill>
      <patternFill patternType="solid">
        <fgColor rgb="FF1A7A40"/>
        <bgColor rgb="FF1E8449"/>
      </patternFill>
    </fill>
    <fill>
      <patternFill patternType="solid">
        <fgColor rgb="FFF0FAF4"/>
        <bgColor rgb="FFEAFAF1"/>
      </patternFill>
    </fill>
    <fill>
      <patternFill patternType="solid">
        <fgColor rgb="FFCA6F1E"/>
        <bgColor rgb="FF856404"/>
      </patternFill>
    </fill>
    <fill>
      <patternFill patternType="solid">
        <fgColor rgb="FFFDEBD0"/>
        <bgColor rgb="FFFFF3CD"/>
      </patternFill>
    </fill>
    <fill>
      <patternFill patternType="solid">
        <fgColor rgb="FF7D3C98"/>
        <bgColor rgb="FF993366"/>
      </patternFill>
    </fill>
    <fill>
      <patternFill patternType="solid">
        <fgColor rgb="FFE8DAEF"/>
        <bgColor rgb="FFE5E8EA"/>
      </patternFill>
    </fill>
    <fill>
      <patternFill patternType="solid">
        <fgColor rgb="FF555555"/>
        <bgColor rgb="FF444444"/>
      </patternFill>
    </fill>
    <fill>
      <patternFill patternType="solid">
        <fgColor rgb="FFEAECEE"/>
        <bgColor rgb="FFE5E8EA"/>
      </patternFill>
    </fill>
    <fill>
      <patternFill patternType="solid">
        <fgColor rgb="FFF5EAF9"/>
        <bgColor rgb="FFFDEDEC"/>
      </patternFill>
    </fill>
    <fill>
      <patternFill patternType="solid">
        <fgColor rgb="FFF0F3F4"/>
        <bgColor rgb="FFEBF5FB"/>
      </patternFill>
    </fill>
    <fill>
      <patternFill patternType="solid">
        <fgColor rgb="FFF5CBA7"/>
        <bgColor rgb="FFC8C8C8"/>
      </patternFill>
    </fill>
    <fill>
      <patternFill patternType="solid">
        <fgColor rgb="FFEAF0FB"/>
        <bgColor rgb="FFEAF2FF"/>
      </patternFill>
    </fill>
    <fill>
      <patternFill patternType="solid">
        <fgColor theme="0"/>
        <bgColor rgb="FFEAECEE"/>
      </patternFill>
    </fill>
    <fill>
      <patternFill patternType="solid">
        <fgColor theme="0"/>
        <bgColor rgb="FF1E8449"/>
      </patternFill>
    </fill>
    <fill>
      <patternFill patternType="solid">
        <fgColor theme="0"/>
        <bgColor rgb="FFEAFAF1"/>
      </patternFill>
    </fill>
    <fill>
      <patternFill patternType="solid">
        <fgColor theme="0"/>
        <bgColor rgb="FFEAF2FF"/>
      </patternFill>
    </fill>
    <fill>
      <patternFill patternType="solid">
        <fgColor theme="0"/>
        <bgColor rgb="FFF5EAF9"/>
      </patternFill>
    </fill>
    <fill>
      <patternFill patternType="solid">
        <fgColor theme="0"/>
        <bgColor rgb="FFF0FAF4"/>
      </patternFill>
    </fill>
    <fill>
      <patternFill patternType="solid">
        <fgColor theme="0"/>
        <bgColor rgb="FFFDEBD0"/>
      </patternFill>
    </fill>
    <fill>
      <patternFill patternType="solid">
        <fgColor theme="5"/>
      </patternFill>
    </fill>
  </fills>
  <borders count="10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/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/>
      <bottom/>
      <diagonal/>
    </border>
    <border>
      <left/>
      <right style="thin">
        <color rgb="FFC8C8C8"/>
      </right>
      <top/>
      <bottom style="thin">
        <color rgb="FFC8C8C8"/>
      </bottom>
      <diagonal/>
    </border>
    <border>
      <left/>
      <right/>
      <top style="thin">
        <color rgb="FFC8C8C8"/>
      </top>
      <bottom/>
      <diagonal/>
    </border>
    <border>
      <left/>
      <right/>
      <top/>
      <bottom style="thin">
        <color rgb="FFC8C8C8"/>
      </bottom>
      <diagonal/>
    </border>
  </borders>
  <cellStyleXfs count="3">
    <xf numFmtId="0" fontId="0" fillId="0" borderId="0"/>
    <xf numFmtId="0" fontId="25" fillId="0" borderId="0" applyNumberFormat="0" applyFill="0" applyBorder="0" applyAlignment="0" applyProtection="0"/>
    <xf numFmtId="0" fontId="26" fillId="39" borderId="0" applyNumberFormat="0" applyBorder="0" applyAlignment="0" applyProtection="0"/>
  </cellStyleXfs>
  <cellXfs count="8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164" fontId="11" fillId="11" borderId="1" xfId="0" applyNumberFormat="1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1" fontId="13" fillId="13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5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vertical="center" wrapText="1"/>
    </xf>
    <xf numFmtId="0" fontId="8" fillId="2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1" fillId="30" borderId="1" xfId="0" applyFont="1" applyFill="1" applyBorder="1" applyAlignment="1">
      <alignment horizontal="center" vertical="center" wrapText="1"/>
    </xf>
    <xf numFmtId="0" fontId="22" fillId="30" borderId="1" xfId="0" applyFont="1" applyFill="1" applyBorder="1" applyAlignment="1">
      <alignment horizontal="left" vertical="center" wrapText="1"/>
    </xf>
    <xf numFmtId="0" fontId="21" fillId="30" borderId="1" xfId="0" applyFont="1" applyFill="1" applyBorder="1" applyAlignment="1">
      <alignment horizontal="left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left" vertical="center" wrapText="1"/>
    </xf>
    <xf numFmtId="0" fontId="21" fillId="19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1" fillId="31" borderId="1" xfId="0" applyFont="1" applyFill="1" applyBorder="1" applyAlignment="1">
      <alignment horizontal="center" vertical="center" wrapText="1"/>
    </xf>
    <xf numFmtId="0" fontId="22" fillId="31" borderId="1" xfId="0" applyFont="1" applyFill="1" applyBorder="1" applyAlignment="1">
      <alignment horizontal="left" vertical="center" wrapText="1"/>
    </xf>
    <xf numFmtId="0" fontId="21" fillId="31" borderId="1" xfId="0" applyFont="1" applyFill="1" applyBorder="1" applyAlignment="1">
      <alignment horizontal="left" vertical="center" wrapText="1"/>
    </xf>
    <xf numFmtId="0" fontId="24" fillId="2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5" fillId="0" borderId="0" xfId="1"/>
    <xf numFmtId="0" fontId="0" fillId="32" borderId="0" xfId="0" applyFill="1"/>
    <xf numFmtId="0" fontId="1" fillId="24" borderId="2" xfId="0" applyFont="1" applyFill="1" applyBorder="1" applyAlignment="1">
      <alignment horizontal="center" vertical="center"/>
    </xf>
    <xf numFmtId="0" fontId="18" fillId="25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8" fillId="21" borderId="2" xfId="0" applyFont="1" applyFill="1" applyBorder="1" applyAlignment="1">
      <alignment horizontal="left" vertical="center" wrapText="1"/>
    </xf>
    <xf numFmtId="164" fontId="11" fillId="11" borderId="2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" fontId="13" fillId="13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5" fillId="33" borderId="0" xfId="0" applyFont="1" applyFill="1" applyAlignment="1">
      <alignment horizontal="center" vertical="center" wrapText="1"/>
    </xf>
    <xf numFmtId="0" fontId="7" fillId="34" borderId="0" xfId="0" applyFont="1" applyFill="1" applyAlignment="1">
      <alignment horizontal="left" vertical="center" wrapText="1"/>
    </xf>
    <xf numFmtId="0" fontId="8" fillId="34" borderId="0" xfId="0" applyFont="1" applyFill="1" applyAlignment="1">
      <alignment horizontal="left" vertical="center" wrapText="1"/>
    </xf>
    <xf numFmtId="164" fontId="11" fillId="35" borderId="0" xfId="0" applyNumberFormat="1" applyFont="1" applyFill="1" applyAlignment="1">
      <alignment horizontal="center" vertical="center"/>
    </xf>
    <xf numFmtId="164" fontId="12" fillId="36" borderId="0" xfId="0" applyNumberFormat="1" applyFont="1" applyFill="1" applyAlignment="1">
      <alignment horizontal="center" vertical="center"/>
    </xf>
    <xf numFmtId="1" fontId="13" fillId="37" borderId="0" xfId="0" applyNumberFormat="1" applyFont="1" applyFill="1" applyAlignment="1">
      <alignment horizontal="center" vertical="center"/>
    </xf>
    <xf numFmtId="0" fontId="23" fillId="34" borderId="0" xfId="0" applyFont="1" applyFill="1" applyAlignment="1">
      <alignment horizontal="left" vertical="center" wrapText="1"/>
    </xf>
    <xf numFmtId="0" fontId="15" fillId="38" borderId="0" xfId="0" applyFont="1" applyFill="1" applyAlignment="1">
      <alignment horizontal="center" vertical="center"/>
    </xf>
    <xf numFmtId="0" fontId="20" fillId="29" borderId="8" xfId="0" applyFont="1" applyFill="1" applyBorder="1" applyAlignment="1">
      <alignment horizontal="left" vertical="center"/>
    </xf>
    <xf numFmtId="0" fontId="19" fillId="27" borderId="3" xfId="0" applyFont="1" applyFill="1" applyBorder="1" applyAlignment="1">
      <alignment horizontal="center" vertical="center" wrapText="1"/>
    </xf>
    <xf numFmtId="0" fontId="19" fillId="27" borderId="4" xfId="0" applyFont="1" applyFill="1" applyBorder="1" applyAlignment="1">
      <alignment horizontal="center" vertical="center" wrapText="1"/>
    </xf>
    <xf numFmtId="0" fontId="1" fillId="26" borderId="3" xfId="0" applyFont="1" applyFill="1" applyBorder="1" applyAlignment="1">
      <alignment horizontal="center" vertical="center"/>
    </xf>
    <xf numFmtId="0" fontId="1" fillId="26" borderId="4" xfId="0" applyFont="1" applyFill="1" applyBorder="1" applyAlignment="1">
      <alignment horizontal="center" vertical="center"/>
    </xf>
    <xf numFmtId="0" fontId="1" fillId="22" borderId="8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2" borderId="9" xfId="0" applyFont="1" applyFill="1" applyBorder="1" applyAlignment="1">
      <alignment horizontal="center" vertical="center"/>
    </xf>
    <xf numFmtId="0" fontId="17" fillId="23" borderId="5" xfId="0" applyFont="1" applyFill="1" applyBorder="1" applyAlignment="1">
      <alignment horizontal="center" vertical="center" wrapText="1"/>
    </xf>
    <xf numFmtId="0" fontId="17" fillId="23" borderId="6" xfId="0" applyFont="1" applyFill="1" applyBorder="1" applyAlignment="1">
      <alignment horizontal="center" vertical="center" wrapText="1"/>
    </xf>
    <xf numFmtId="0" fontId="17" fillId="23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9" xfId="0" applyFont="1" applyFill="1" applyBorder="1" applyAlignment="1">
      <alignment vertical="center"/>
    </xf>
    <xf numFmtId="0" fontId="16" fillId="19" borderId="2" xfId="0" applyFont="1" applyFill="1" applyBorder="1" applyAlignment="1">
      <alignment horizontal="center" vertical="center" wrapText="1"/>
    </xf>
    <xf numFmtId="0" fontId="16" fillId="19" borderId="3" xfId="0" applyFont="1" applyFill="1" applyBorder="1" applyAlignment="1">
      <alignment horizontal="center" vertical="center" wrapText="1"/>
    </xf>
    <xf numFmtId="0" fontId="16" fillId="19" borderId="4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0" fontId="26" fillId="39" borderId="2" xfId="2" applyBorder="1" applyAlignment="1">
      <alignment horizontal="center" vertical="center" wrapText="1"/>
    </xf>
  </cellXfs>
  <cellStyles count="3">
    <cellStyle name="Accent2" xfId="2" builtinId="33"/>
    <cellStyle name="Bình thường" xfId="0" builtinId="0"/>
    <cellStyle name="Siêu kết nối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C"/>
      <rgbColor rgb="FFFF00FF"/>
      <rgbColor rgb="FFF0FAF4"/>
      <rgbColor rgb="FF800000"/>
      <rgbColor rgb="FF1A7A40"/>
      <rgbColor rgb="FF2C3E50"/>
      <rgbColor rgb="FF856404"/>
      <rgbColor rgb="FF800080"/>
      <rgbColor rgb="FF1D6A3D"/>
      <rgbColor rgb="FFC8C8C8"/>
      <rgbColor rgb="FF155724"/>
      <rgbColor rgb="FFD4EDDA"/>
      <rgbColor rgb="FF7D3C98"/>
      <rgbColor rgb="FFFFF3CD"/>
      <rgbColor rgb="FFEAFAF1"/>
      <rgbColor rgb="FF660066"/>
      <rgbColor rgb="FFEAF0FB"/>
      <rgbColor rgb="FF1F6FA8"/>
      <rgbColor rgb="FFE8DAEF"/>
      <rgbColor rgb="FF000080"/>
      <rgbColor rgb="FFFF00FF"/>
      <rgbColor rgb="FFFDEDEC"/>
      <rgbColor rgb="FFF9F9F9"/>
      <rgbColor rgb="FF800080"/>
      <rgbColor rgb="FF800000"/>
      <rgbColor rgb="FF1A5276"/>
      <rgbColor rgb="FF0000FF"/>
      <rgbColor rgb="FF00CCFF"/>
      <rgbColor rgb="FFEBF5FB"/>
      <rgbColor rgb="FFD5F5E3"/>
      <rgbColor rgb="FFFDEBD0"/>
      <rgbColor rgb="FFD6E4F0"/>
      <rgbColor rgb="FFF5EAF9"/>
      <rgbColor rgb="FFE5E8EA"/>
      <rgbColor rgb="FFF5CBA7"/>
      <rgbColor rgb="FF2E86C1"/>
      <rgbColor rgb="FFEAF2FF"/>
      <rgbColor rgb="FFF0F3F4"/>
      <rgbColor rgb="FFEAECEE"/>
      <rgbColor rgb="FFE8A020"/>
      <rgbColor rgb="FFCA6F1E"/>
      <rgbColor rgb="FF555555"/>
      <rgbColor rgb="FFAAAAAA"/>
      <rgbColor rgb="FF1A3A5C"/>
      <rgbColor rgb="FF1E8449"/>
      <rgbColor rgb="FF111111"/>
      <rgbColor rgb="FF444444"/>
      <rgbColor rgb="FF7B241C"/>
      <rgbColor rgb="FF993366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ucphatdeveloper/SmartMoney_ProjectHK4_Group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showGridLines="0" tabSelected="1" zoomScaleNormal="100" workbookViewId="0">
      <pane ySplit="3" topLeftCell="A38" activePane="bottomLeft" state="frozen"/>
      <selection pane="bottomLeft" activeCell="K6" sqref="K6"/>
    </sheetView>
  </sheetViews>
  <sheetFormatPr defaultColWidth="8.7109375" defaultRowHeight="15" x14ac:dyDescent="0.25"/>
  <cols>
    <col min="1" max="1" width="4" customWidth="1"/>
    <col min="2" max="2" width="18" customWidth="1"/>
    <col min="3" max="3" width="17" customWidth="1"/>
    <col min="4" max="4" width="40" customWidth="1"/>
    <col min="5" max="5" width="32" customWidth="1"/>
    <col min="6" max="6" width="28" customWidth="1"/>
    <col min="7" max="8" width="13" customWidth="1"/>
    <col min="9" max="9" width="8" customWidth="1"/>
    <col min="10" max="10" width="22" customWidth="1"/>
    <col min="11" max="11" width="39.7109375" customWidth="1"/>
  </cols>
  <sheetData>
    <row r="1" spans="1:11" ht="37.5" customHeight="1" x14ac:dyDescent="0.2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</row>
    <row r="2" spans="1:11" ht="18" customHeight="1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</row>
    <row r="3" spans="1:11" ht="37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182</v>
      </c>
      <c r="F3" s="1" t="s">
        <v>6</v>
      </c>
      <c r="G3" s="1" t="s">
        <v>7</v>
      </c>
      <c r="H3" s="1" t="s">
        <v>185</v>
      </c>
      <c r="I3" s="1" t="s">
        <v>8</v>
      </c>
      <c r="J3" s="1" t="s">
        <v>9</v>
      </c>
    </row>
    <row r="4" spans="1:11" ht="21.75" customHeight="1" x14ac:dyDescent="0.25">
      <c r="A4" s="77" t="s">
        <v>10</v>
      </c>
      <c r="B4" s="74" t="s">
        <v>11</v>
      </c>
      <c r="C4" s="2" t="s">
        <v>12</v>
      </c>
      <c r="D4" s="3" t="s">
        <v>13</v>
      </c>
      <c r="E4" s="4" t="s">
        <v>14</v>
      </c>
      <c r="F4" s="5" t="s">
        <v>15</v>
      </c>
      <c r="G4" s="8">
        <v>46100</v>
      </c>
      <c r="H4" s="9">
        <v>46100</v>
      </c>
      <c r="I4" s="6" t="s">
        <v>16</v>
      </c>
      <c r="J4" s="7" t="s">
        <v>17</v>
      </c>
    </row>
    <row r="5" spans="1:11" ht="21.75" customHeight="1" x14ac:dyDescent="0.25">
      <c r="A5" s="78"/>
      <c r="B5" s="75"/>
      <c r="C5" s="2" t="s">
        <v>12</v>
      </c>
      <c r="D5" s="3" t="s">
        <v>18</v>
      </c>
      <c r="E5" s="4" t="s">
        <v>19</v>
      </c>
      <c r="F5" s="5" t="s">
        <v>20</v>
      </c>
      <c r="G5" s="8">
        <v>46100</v>
      </c>
      <c r="H5" s="9">
        <v>46101</v>
      </c>
      <c r="I5" s="10">
        <f>H5-G5</f>
        <v>1</v>
      </c>
      <c r="J5" s="7" t="s">
        <v>17</v>
      </c>
    </row>
    <row r="6" spans="1:11" ht="21.75" customHeight="1" x14ac:dyDescent="0.25">
      <c r="A6" s="78"/>
      <c r="B6" s="75"/>
      <c r="C6" s="2" t="s">
        <v>12</v>
      </c>
      <c r="D6" s="3" t="s">
        <v>22</v>
      </c>
      <c r="E6" s="4" t="s">
        <v>23</v>
      </c>
      <c r="F6" s="5" t="s">
        <v>24</v>
      </c>
      <c r="G6" s="8">
        <v>46100</v>
      </c>
      <c r="H6" s="9">
        <v>46100</v>
      </c>
      <c r="I6" s="6" t="s">
        <v>16</v>
      </c>
      <c r="J6" s="7" t="s">
        <v>17</v>
      </c>
    </row>
    <row r="7" spans="1:11" ht="21.75" customHeight="1" x14ac:dyDescent="0.25">
      <c r="A7" s="78"/>
      <c r="B7" s="75"/>
      <c r="C7" s="2" t="s">
        <v>12</v>
      </c>
      <c r="D7" s="3" t="s">
        <v>25</v>
      </c>
      <c r="E7" s="4" t="s">
        <v>26</v>
      </c>
      <c r="F7" s="5" t="s">
        <v>178</v>
      </c>
      <c r="G7" s="8">
        <v>46100</v>
      </c>
      <c r="H7" s="9">
        <v>46100</v>
      </c>
      <c r="I7" s="10" t="str">
        <f>I6</f>
        <v>–</v>
      </c>
      <c r="J7" s="7" t="s">
        <v>17</v>
      </c>
    </row>
    <row r="8" spans="1:11" ht="21.75" customHeight="1" x14ac:dyDescent="0.25">
      <c r="A8" s="78"/>
      <c r="B8" s="75"/>
      <c r="C8" s="2" t="s">
        <v>12</v>
      </c>
      <c r="D8" s="3" t="s">
        <v>28</v>
      </c>
      <c r="E8" s="4" t="s">
        <v>29</v>
      </c>
      <c r="F8" s="5" t="s">
        <v>30</v>
      </c>
      <c r="G8" s="8">
        <v>46100</v>
      </c>
      <c r="H8" s="9">
        <v>46100</v>
      </c>
      <c r="I8" s="6" t="s">
        <v>16</v>
      </c>
      <c r="J8" s="7" t="s">
        <v>17</v>
      </c>
    </row>
    <row r="9" spans="1:11" ht="20.25" customHeight="1" x14ac:dyDescent="0.25">
      <c r="A9" s="78"/>
      <c r="B9" s="75"/>
      <c r="C9" s="13" t="s">
        <v>31</v>
      </c>
      <c r="D9" s="14" t="s">
        <v>32</v>
      </c>
      <c r="E9" s="15" t="s">
        <v>33</v>
      </c>
      <c r="F9" s="16" t="s">
        <v>34</v>
      </c>
      <c r="G9" s="8">
        <v>46100</v>
      </c>
      <c r="H9" s="9">
        <v>46101</v>
      </c>
      <c r="I9" s="10">
        <f>H9-G9</f>
        <v>1</v>
      </c>
      <c r="J9" s="7" t="s">
        <v>17</v>
      </c>
    </row>
    <row r="10" spans="1:11" ht="21.75" customHeight="1" x14ac:dyDescent="0.25">
      <c r="A10" s="78"/>
      <c r="B10" s="75"/>
      <c r="C10" s="13" t="s">
        <v>31</v>
      </c>
      <c r="D10" s="14" t="s">
        <v>35</v>
      </c>
      <c r="E10" s="15" t="s">
        <v>19</v>
      </c>
      <c r="F10" s="16" t="s">
        <v>34</v>
      </c>
      <c r="G10" s="8">
        <v>46100</v>
      </c>
      <c r="H10" s="9">
        <v>46117</v>
      </c>
      <c r="I10" s="10">
        <f>H10-G10</f>
        <v>17</v>
      </c>
      <c r="J10" s="12" t="s">
        <v>196</v>
      </c>
      <c r="K10" t="s">
        <v>200</v>
      </c>
    </row>
    <row r="11" spans="1:11" ht="33.75" customHeight="1" x14ac:dyDescent="0.25">
      <c r="A11" s="78"/>
      <c r="B11" s="75"/>
      <c r="C11" s="18" t="s">
        <v>51</v>
      </c>
      <c r="D11" s="19" t="s">
        <v>193</v>
      </c>
      <c r="E11" s="20" t="s">
        <v>19</v>
      </c>
      <c r="F11" s="21" t="s">
        <v>53</v>
      </c>
      <c r="G11" s="8">
        <v>46106</v>
      </c>
      <c r="H11" s="9">
        <v>46107</v>
      </c>
      <c r="I11" s="10">
        <f>H11-G11</f>
        <v>1</v>
      </c>
      <c r="J11" s="7" t="s">
        <v>17</v>
      </c>
    </row>
    <row r="12" spans="1:11" ht="21.75" customHeight="1" x14ac:dyDescent="0.25">
      <c r="A12" s="79"/>
      <c r="B12" s="76"/>
      <c r="C12" s="18" t="s">
        <v>51</v>
      </c>
      <c r="D12" s="19" t="s">
        <v>192</v>
      </c>
      <c r="E12" s="20" t="s">
        <v>26</v>
      </c>
      <c r="F12" s="21" t="s">
        <v>53</v>
      </c>
      <c r="G12" s="8">
        <v>46109</v>
      </c>
      <c r="H12" s="9">
        <v>46111</v>
      </c>
      <c r="I12" s="10">
        <f>H12-G12</f>
        <v>2</v>
      </c>
      <c r="J12" s="11" t="s">
        <v>21</v>
      </c>
    </row>
    <row r="13" spans="1:11" ht="21.75" customHeight="1" x14ac:dyDescent="0.25">
      <c r="A13" s="83" t="s">
        <v>36</v>
      </c>
      <c r="B13" s="80" t="s">
        <v>37</v>
      </c>
      <c r="C13" s="2" t="s">
        <v>12</v>
      </c>
      <c r="D13" s="3" t="s">
        <v>38</v>
      </c>
      <c r="E13" s="4" t="s">
        <v>39</v>
      </c>
      <c r="F13" s="5" t="s">
        <v>40</v>
      </c>
      <c r="G13" s="8">
        <v>46100</v>
      </c>
      <c r="H13" s="9">
        <v>46100</v>
      </c>
      <c r="I13" s="6" t="s">
        <v>16</v>
      </c>
      <c r="J13" s="7" t="s">
        <v>17</v>
      </c>
    </row>
    <row r="14" spans="1:11" ht="21.75" customHeight="1" x14ac:dyDescent="0.25">
      <c r="A14" s="84"/>
      <c r="B14" s="81"/>
      <c r="C14" s="2" t="s">
        <v>12</v>
      </c>
      <c r="D14" s="3" t="s">
        <v>41</v>
      </c>
      <c r="E14" s="4" t="s">
        <v>42</v>
      </c>
      <c r="F14" s="5" t="s">
        <v>40</v>
      </c>
      <c r="G14" s="8">
        <v>46100</v>
      </c>
      <c r="H14" s="9">
        <v>46100</v>
      </c>
      <c r="I14" s="6" t="s">
        <v>16</v>
      </c>
      <c r="J14" s="7" t="s">
        <v>17</v>
      </c>
    </row>
    <row r="15" spans="1:11" ht="21.75" customHeight="1" x14ac:dyDescent="0.25">
      <c r="A15" s="84"/>
      <c r="B15" s="81"/>
      <c r="C15" s="2" t="s">
        <v>12</v>
      </c>
      <c r="D15" s="3" t="s">
        <v>43</v>
      </c>
      <c r="E15" s="4" t="s">
        <v>44</v>
      </c>
      <c r="F15" s="5" t="s">
        <v>40</v>
      </c>
      <c r="G15" s="8">
        <v>46100</v>
      </c>
      <c r="H15" s="9">
        <v>46100</v>
      </c>
      <c r="I15" s="6" t="s">
        <v>16</v>
      </c>
      <c r="J15" s="7" t="s">
        <v>17</v>
      </c>
    </row>
    <row r="16" spans="1:11" ht="21.75" customHeight="1" x14ac:dyDescent="0.25">
      <c r="A16" s="84"/>
      <c r="B16" s="81"/>
      <c r="C16" s="2" t="s">
        <v>12</v>
      </c>
      <c r="D16" s="3" t="s">
        <v>45</v>
      </c>
      <c r="E16" s="4" t="s">
        <v>46</v>
      </c>
      <c r="F16" s="5" t="s">
        <v>40</v>
      </c>
      <c r="G16" s="8">
        <v>46100</v>
      </c>
      <c r="H16" s="9">
        <v>46100</v>
      </c>
      <c r="I16" s="6" t="s">
        <v>16</v>
      </c>
      <c r="J16" s="7" t="s">
        <v>17</v>
      </c>
    </row>
    <row r="17" spans="1:11" ht="21.75" customHeight="1" x14ac:dyDescent="0.25">
      <c r="A17" s="84"/>
      <c r="B17" s="81"/>
      <c r="C17" s="2" t="s">
        <v>12</v>
      </c>
      <c r="D17" s="3" t="s">
        <v>47</v>
      </c>
      <c r="E17" s="4" t="s">
        <v>48</v>
      </c>
      <c r="F17" s="5" t="s">
        <v>49</v>
      </c>
      <c r="G17" s="8">
        <v>46100</v>
      </c>
      <c r="H17" s="9">
        <v>46100</v>
      </c>
      <c r="I17" s="6" t="s">
        <v>16</v>
      </c>
      <c r="J17" s="7" t="s">
        <v>17</v>
      </c>
    </row>
    <row r="18" spans="1:11" ht="21.75" customHeight="1" x14ac:dyDescent="0.25">
      <c r="A18" s="84"/>
      <c r="B18" s="81"/>
      <c r="C18" s="2" t="s">
        <v>12</v>
      </c>
      <c r="D18" s="3" t="s">
        <v>50</v>
      </c>
      <c r="E18" s="4" t="s">
        <v>16</v>
      </c>
      <c r="F18" s="5" t="s">
        <v>179</v>
      </c>
      <c r="G18" s="8">
        <v>46100</v>
      </c>
      <c r="H18" s="9">
        <v>46116</v>
      </c>
      <c r="I18" s="6" t="s">
        <v>16</v>
      </c>
      <c r="J18" s="7" t="s">
        <v>17</v>
      </c>
    </row>
    <row r="19" spans="1:11" ht="21.75" customHeight="1" x14ac:dyDescent="0.25">
      <c r="A19" s="84"/>
      <c r="B19" s="81"/>
      <c r="C19" s="18" t="s">
        <v>51</v>
      </c>
      <c r="D19" s="19" t="s">
        <v>52</v>
      </c>
      <c r="E19" s="40" t="s">
        <v>176</v>
      </c>
      <c r="F19" s="21" t="s">
        <v>53</v>
      </c>
      <c r="G19" s="8">
        <v>46100</v>
      </c>
      <c r="H19" s="9">
        <v>46101</v>
      </c>
      <c r="I19" s="10">
        <f>H19-G19</f>
        <v>1</v>
      </c>
      <c r="J19" s="7" t="s">
        <v>17</v>
      </c>
    </row>
    <row r="20" spans="1:11" ht="21.75" customHeight="1" x14ac:dyDescent="0.25">
      <c r="A20" s="84"/>
      <c r="B20" s="81"/>
      <c r="C20" s="18" t="s">
        <v>51</v>
      </c>
      <c r="D20" s="19" t="s">
        <v>190</v>
      </c>
      <c r="E20" s="20" t="s">
        <v>189</v>
      </c>
      <c r="F20" s="21" t="s">
        <v>53</v>
      </c>
      <c r="G20" s="8">
        <v>46100</v>
      </c>
      <c r="H20" s="9">
        <v>46115</v>
      </c>
      <c r="I20" s="10">
        <f>H20-G20</f>
        <v>15</v>
      </c>
      <c r="J20" s="12" t="s">
        <v>27</v>
      </c>
      <c r="K20" t="s">
        <v>197</v>
      </c>
    </row>
    <row r="21" spans="1:11" ht="31.5" customHeight="1" x14ac:dyDescent="0.25">
      <c r="A21" s="85"/>
      <c r="B21" s="82"/>
      <c r="C21" s="18" t="s">
        <v>51</v>
      </c>
      <c r="D21" s="19" t="s">
        <v>54</v>
      </c>
      <c r="E21" s="20" t="s">
        <v>55</v>
      </c>
      <c r="F21" s="21" t="s">
        <v>56</v>
      </c>
      <c r="G21" s="8">
        <v>46111</v>
      </c>
      <c r="H21" s="9"/>
      <c r="I21" s="6" t="s">
        <v>16</v>
      </c>
      <c r="J21" s="11" t="s">
        <v>21</v>
      </c>
    </row>
    <row r="22" spans="1:11" ht="21.75" customHeight="1" x14ac:dyDescent="0.25">
      <c r="A22" s="66" t="s">
        <v>57</v>
      </c>
      <c r="B22" s="69" t="s">
        <v>58</v>
      </c>
      <c r="C22" s="2" t="s">
        <v>12</v>
      </c>
      <c r="D22" s="3" t="s">
        <v>59</v>
      </c>
      <c r="E22" s="4" t="s">
        <v>180</v>
      </c>
      <c r="F22" s="5" t="s">
        <v>60</v>
      </c>
      <c r="G22" s="8">
        <v>46100</v>
      </c>
      <c r="H22" s="9">
        <v>46100</v>
      </c>
      <c r="I22" s="6" t="s">
        <v>16</v>
      </c>
      <c r="J22" s="7" t="s">
        <v>17</v>
      </c>
    </row>
    <row r="23" spans="1:11" ht="21.75" customHeight="1" x14ac:dyDescent="0.25">
      <c r="A23" s="67"/>
      <c r="B23" s="70"/>
      <c r="C23" s="2" t="s">
        <v>12</v>
      </c>
      <c r="D23" s="3" t="s">
        <v>61</v>
      </c>
      <c r="E23" s="4" t="s">
        <v>181</v>
      </c>
      <c r="F23" s="5" t="s">
        <v>62</v>
      </c>
      <c r="G23" s="8">
        <v>46100</v>
      </c>
      <c r="H23" s="9">
        <v>46100</v>
      </c>
      <c r="I23" s="10">
        <f>H23-G23</f>
        <v>0</v>
      </c>
      <c r="J23" s="7" t="s">
        <v>17</v>
      </c>
    </row>
    <row r="24" spans="1:11" ht="21.75" customHeight="1" x14ac:dyDescent="0.25">
      <c r="A24" s="67"/>
      <c r="B24" s="70"/>
      <c r="C24" s="2" t="s">
        <v>12</v>
      </c>
      <c r="D24" s="3" t="s">
        <v>63</v>
      </c>
      <c r="E24" s="4" t="s">
        <v>64</v>
      </c>
      <c r="F24" s="5" t="s">
        <v>40</v>
      </c>
      <c r="G24" s="8">
        <v>46100</v>
      </c>
      <c r="H24" s="9">
        <v>46100</v>
      </c>
      <c r="I24" s="6" t="s">
        <v>16</v>
      </c>
      <c r="J24" s="7" t="s">
        <v>17</v>
      </c>
    </row>
    <row r="25" spans="1:11" ht="21.75" customHeight="1" x14ac:dyDescent="0.25">
      <c r="A25" s="67"/>
      <c r="B25" s="70"/>
      <c r="C25" s="2" t="s">
        <v>12</v>
      </c>
      <c r="D25" s="3" t="s">
        <v>65</v>
      </c>
      <c r="E25" s="4" t="s">
        <v>66</v>
      </c>
      <c r="F25" s="5" t="s">
        <v>40</v>
      </c>
      <c r="G25" s="8">
        <v>46100</v>
      </c>
      <c r="H25" s="9">
        <v>46100</v>
      </c>
      <c r="I25" s="6" t="s">
        <v>16</v>
      </c>
      <c r="J25" s="7" t="s">
        <v>17</v>
      </c>
    </row>
    <row r="26" spans="1:11" ht="21.75" customHeight="1" x14ac:dyDescent="0.25">
      <c r="A26" s="67"/>
      <c r="B26" s="70"/>
      <c r="C26" s="2" t="s">
        <v>12</v>
      </c>
      <c r="D26" s="3" t="s">
        <v>67</v>
      </c>
      <c r="E26" s="4" t="s">
        <v>68</v>
      </c>
      <c r="F26" s="5" t="s">
        <v>40</v>
      </c>
      <c r="G26" s="8">
        <v>46100</v>
      </c>
      <c r="H26" s="9">
        <v>46100</v>
      </c>
      <c r="I26" s="6" t="s">
        <v>16</v>
      </c>
      <c r="J26" s="7" t="s">
        <v>17</v>
      </c>
    </row>
    <row r="27" spans="1:11" ht="21.75" customHeight="1" x14ac:dyDescent="0.25">
      <c r="A27" s="67"/>
      <c r="B27" s="70"/>
      <c r="C27" s="2" t="s">
        <v>12</v>
      </c>
      <c r="D27" s="3" t="s">
        <v>69</v>
      </c>
      <c r="E27" s="4" t="s">
        <v>70</v>
      </c>
      <c r="F27" s="5" t="s">
        <v>40</v>
      </c>
      <c r="G27" s="8">
        <v>46100</v>
      </c>
      <c r="H27" s="9">
        <v>46100</v>
      </c>
      <c r="I27" s="6" t="s">
        <v>16</v>
      </c>
      <c r="J27" s="7" t="s">
        <v>17</v>
      </c>
    </row>
    <row r="28" spans="1:11" ht="28.5" customHeight="1" x14ac:dyDescent="0.25">
      <c r="A28" s="67"/>
      <c r="B28" s="70"/>
      <c r="C28" s="18" t="s">
        <v>51</v>
      </c>
      <c r="D28" s="19" t="s">
        <v>186</v>
      </c>
      <c r="E28" s="20" t="s">
        <v>177</v>
      </c>
      <c r="F28" s="21" t="s">
        <v>53</v>
      </c>
      <c r="G28" s="8">
        <v>46100</v>
      </c>
      <c r="H28" s="9">
        <v>46102</v>
      </c>
      <c r="I28" s="10">
        <f>H28-G28</f>
        <v>2</v>
      </c>
      <c r="J28" s="7" t="s">
        <v>17</v>
      </c>
    </row>
    <row r="29" spans="1:11" ht="34.5" customHeight="1" x14ac:dyDescent="0.25">
      <c r="A29" s="67"/>
      <c r="B29" s="70"/>
      <c r="C29" s="18" t="s">
        <v>51</v>
      </c>
      <c r="D29" s="19" t="s">
        <v>71</v>
      </c>
      <c r="E29" s="20" t="s">
        <v>72</v>
      </c>
      <c r="F29" s="21" t="s">
        <v>53</v>
      </c>
      <c r="G29" s="8">
        <v>46100</v>
      </c>
      <c r="H29" s="9">
        <v>46115</v>
      </c>
      <c r="I29" s="10">
        <f>H29-G29</f>
        <v>15</v>
      </c>
      <c r="J29" s="7" t="s">
        <v>17</v>
      </c>
    </row>
    <row r="30" spans="1:11" ht="31.5" customHeight="1" x14ac:dyDescent="0.25">
      <c r="A30" s="67"/>
      <c r="B30" s="70"/>
      <c r="C30" s="45" t="s">
        <v>51</v>
      </c>
      <c r="D30" s="46" t="s">
        <v>194</v>
      </c>
      <c r="E30" s="47" t="s">
        <v>33</v>
      </c>
      <c r="F30" s="48" t="s">
        <v>53</v>
      </c>
      <c r="G30" s="49">
        <v>46101</v>
      </c>
      <c r="H30" s="50">
        <v>46102</v>
      </c>
      <c r="I30" s="51">
        <f>H30-G30</f>
        <v>1</v>
      </c>
      <c r="J30" s="52" t="s">
        <v>17</v>
      </c>
    </row>
    <row r="31" spans="1:11" ht="21.75" customHeight="1" x14ac:dyDescent="0.25">
      <c r="A31" s="68"/>
      <c r="B31" s="71"/>
      <c r="C31" s="86"/>
      <c r="D31" s="46" t="s">
        <v>198</v>
      </c>
      <c r="E31" s="47" t="s">
        <v>199</v>
      </c>
      <c r="F31" s="48"/>
      <c r="G31" s="49">
        <v>46115</v>
      </c>
      <c r="H31" s="50">
        <v>46117</v>
      </c>
      <c r="I31" s="51">
        <f>H31-G31</f>
        <v>2</v>
      </c>
      <c r="J31" s="12" t="s">
        <v>196</v>
      </c>
    </row>
    <row r="32" spans="1:11" ht="34.5" customHeight="1" x14ac:dyDescent="0.25">
      <c r="A32" s="43">
        <v>4</v>
      </c>
      <c r="B32" s="44" t="s">
        <v>74</v>
      </c>
      <c r="C32" s="18" t="s">
        <v>51</v>
      </c>
      <c r="D32" s="19" t="s">
        <v>191</v>
      </c>
      <c r="E32" s="20" t="s">
        <v>188</v>
      </c>
      <c r="F32" s="21" t="s">
        <v>53</v>
      </c>
      <c r="G32" s="8">
        <v>46100</v>
      </c>
      <c r="H32" s="9">
        <v>46115</v>
      </c>
      <c r="I32" s="10">
        <f>H32-G32</f>
        <v>15</v>
      </c>
      <c r="J32" s="12" t="s">
        <v>195</v>
      </c>
      <c r="K32" t="s">
        <v>201</v>
      </c>
    </row>
    <row r="33" spans="1:10" ht="21.75" customHeight="1" x14ac:dyDescent="0.25">
      <c r="A33" s="64" t="s">
        <v>75</v>
      </c>
      <c r="B33" s="62" t="s">
        <v>76</v>
      </c>
      <c r="C33" s="22" t="s">
        <v>77</v>
      </c>
      <c r="D33" s="23" t="s">
        <v>175</v>
      </c>
      <c r="E33" s="39" t="s">
        <v>184</v>
      </c>
      <c r="F33" s="25" t="s">
        <v>78</v>
      </c>
      <c r="G33" s="8">
        <v>46100</v>
      </c>
      <c r="H33" s="9">
        <v>46130</v>
      </c>
      <c r="I33" s="10">
        <f>H33-G33</f>
        <v>30</v>
      </c>
      <c r="J33" s="11" t="s">
        <v>21</v>
      </c>
    </row>
    <row r="34" spans="1:10" ht="21.75" customHeight="1" x14ac:dyDescent="0.25">
      <c r="A34" s="64"/>
      <c r="B34" s="62"/>
      <c r="C34" s="22" t="s">
        <v>77</v>
      </c>
      <c r="D34" s="23" t="s">
        <v>79</v>
      </c>
      <c r="E34" s="39" t="s">
        <v>183</v>
      </c>
      <c r="F34" s="25" t="s">
        <v>78</v>
      </c>
      <c r="G34" s="8">
        <v>46100</v>
      </c>
      <c r="H34" s="9">
        <v>46130</v>
      </c>
      <c r="I34" s="10">
        <f>H34-G34</f>
        <v>30</v>
      </c>
      <c r="J34" s="11" t="s">
        <v>21</v>
      </c>
    </row>
    <row r="35" spans="1:10" ht="21.75" customHeight="1" x14ac:dyDescent="0.25">
      <c r="A35" s="64"/>
      <c r="B35" s="62"/>
      <c r="C35" s="22" t="s">
        <v>77</v>
      </c>
      <c r="D35" s="23" t="s">
        <v>80</v>
      </c>
      <c r="E35" s="39" t="s">
        <v>183</v>
      </c>
      <c r="F35" s="25" t="s">
        <v>78</v>
      </c>
      <c r="G35" s="8">
        <v>46100</v>
      </c>
      <c r="H35" s="9">
        <v>46130</v>
      </c>
      <c r="I35" s="10">
        <f>H35-G35</f>
        <v>30</v>
      </c>
      <c r="J35" s="11" t="s">
        <v>21</v>
      </c>
    </row>
    <row r="36" spans="1:10" ht="21.75" customHeight="1" x14ac:dyDescent="0.25">
      <c r="A36" s="64"/>
      <c r="B36" s="62"/>
      <c r="C36" s="22" t="s">
        <v>77</v>
      </c>
      <c r="D36" s="23" t="s">
        <v>81</v>
      </c>
      <c r="E36" s="24" t="s">
        <v>82</v>
      </c>
      <c r="F36" s="25" t="s">
        <v>78</v>
      </c>
      <c r="G36" s="8">
        <v>46100</v>
      </c>
      <c r="H36" s="9">
        <v>46130</v>
      </c>
      <c r="I36" s="10">
        <f>H36-G36</f>
        <v>30</v>
      </c>
      <c r="J36" s="11" t="s">
        <v>21</v>
      </c>
    </row>
    <row r="37" spans="1:10" ht="28.5" customHeight="1" x14ac:dyDescent="0.25">
      <c r="A37" s="65"/>
      <c r="B37" s="63"/>
      <c r="C37" s="22" t="s">
        <v>77</v>
      </c>
      <c r="D37" s="17"/>
      <c r="E37" s="17"/>
      <c r="F37" s="17"/>
      <c r="G37" s="17"/>
      <c r="H37" s="17"/>
      <c r="I37" s="17"/>
      <c r="J37" s="17"/>
    </row>
    <row r="38" spans="1:10" x14ac:dyDescent="0.25">
      <c r="A38" s="61" t="s">
        <v>83</v>
      </c>
      <c r="B38" s="61"/>
      <c r="C38" s="61"/>
      <c r="D38" s="61"/>
      <c r="E38" s="61"/>
      <c r="F38" s="61"/>
      <c r="G38" s="61"/>
      <c r="H38" s="61"/>
      <c r="I38" s="61"/>
      <c r="J38" s="61"/>
    </row>
    <row r="39" spans="1:10" ht="21.75" customHeight="1" x14ac:dyDescent="0.25"/>
    <row r="47" spans="1:10" x14ac:dyDescent="0.25">
      <c r="C47" s="53"/>
      <c r="D47" s="59"/>
      <c r="E47" s="54"/>
      <c r="F47" s="55"/>
      <c r="G47" s="56"/>
      <c r="H47" s="57"/>
      <c r="I47" s="58"/>
      <c r="J47" s="60"/>
    </row>
    <row r="49" spans="1:2" x14ac:dyDescent="0.25">
      <c r="A49" s="42"/>
      <c r="B49" s="42"/>
    </row>
    <row r="50" spans="1:2" x14ac:dyDescent="0.25">
      <c r="A50" s="42"/>
      <c r="B50" s="42"/>
    </row>
    <row r="51" spans="1:2" x14ac:dyDescent="0.25">
      <c r="A51" s="42"/>
      <c r="B51" s="42"/>
    </row>
    <row r="52" spans="1:2" x14ac:dyDescent="0.25">
      <c r="A52" s="42"/>
      <c r="B52" s="42"/>
    </row>
    <row r="53" spans="1:2" x14ac:dyDescent="0.25">
      <c r="A53" s="42"/>
      <c r="B53" s="42"/>
    </row>
    <row r="54" spans="1:2" x14ac:dyDescent="0.25">
      <c r="A54" s="42"/>
      <c r="B54" s="42"/>
    </row>
    <row r="55" spans="1:2" x14ac:dyDescent="0.25">
      <c r="A55" s="42"/>
      <c r="B55" s="42"/>
    </row>
    <row r="56" spans="1:2" x14ac:dyDescent="0.25">
      <c r="A56" s="42"/>
      <c r="B56" s="42"/>
    </row>
    <row r="57" spans="1:2" x14ac:dyDescent="0.25">
      <c r="A57" s="42"/>
      <c r="B57" s="42"/>
    </row>
    <row r="58" spans="1:2" x14ac:dyDescent="0.25">
      <c r="A58" s="42"/>
      <c r="B58" s="42"/>
    </row>
  </sheetData>
  <mergeCells count="11">
    <mergeCell ref="A1:J1"/>
    <mergeCell ref="A2:J2"/>
    <mergeCell ref="B4:B12"/>
    <mergeCell ref="A4:A12"/>
    <mergeCell ref="B13:B21"/>
    <mergeCell ref="A13:A21"/>
    <mergeCell ref="A38:J38"/>
    <mergeCell ref="B33:B37"/>
    <mergeCell ref="A33:A37"/>
    <mergeCell ref="A22:A31"/>
    <mergeCell ref="B22:B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zoomScaleNormal="100" workbookViewId="0">
      <selection activeCell="B24" sqref="B24"/>
    </sheetView>
  </sheetViews>
  <sheetFormatPr defaultColWidth="8.7109375" defaultRowHeight="15" x14ac:dyDescent="0.25"/>
  <cols>
    <col min="1" max="1" width="5" customWidth="1"/>
    <col min="2" max="2" width="28" customWidth="1"/>
    <col min="3" max="3" width="24" customWidth="1"/>
    <col min="4" max="4" width="20" customWidth="1"/>
    <col min="5" max="5" width="36" customWidth="1"/>
  </cols>
  <sheetData>
    <row r="1" spans="1:5" ht="37.5" customHeight="1" x14ac:dyDescent="0.25">
      <c r="A1" s="72" t="s">
        <v>84</v>
      </c>
      <c r="B1" s="72"/>
      <c r="C1" s="72"/>
      <c r="D1" s="72"/>
      <c r="E1" s="72"/>
    </row>
    <row r="2" spans="1:5" ht="18" customHeight="1" x14ac:dyDescent="0.25">
      <c r="A2" s="73" t="s">
        <v>85</v>
      </c>
      <c r="B2" s="73"/>
      <c r="C2" s="73"/>
      <c r="D2" s="73"/>
      <c r="E2" s="73"/>
    </row>
    <row r="3" spans="1:5" ht="27.75" customHeight="1" x14ac:dyDescent="0.25">
      <c r="A3" s="26" t="s">
        <v>2</v>
      </c>
      <c r="B3" s="26" t="s">
        <v>86</v>
      </c>
      <c r="C3" s="26" t="s">
        <v>87</v>
      </c>
      <c r="D3" s="26" t="s">
        <v>4</v>
      </c>
      <c r="E3" s="26" t="s">
        <v>88</v>
      </c>
    </row>
    <row r="4" spans="1:5" ht="19.5" customHeight="1" x14ac:dyDescent="0.25">
      <c r="A4" s="27" t="s">
        <v>10</v>
      </c>
      <c r="B4" s="28" t="s">
        <v>89</v>
      </c>
      <c r="C4" s="29" t="s">
        <v>90</v>
      </c>
      <c r="D4" s="29" t="s">
        <v>12</v>
      </c>
      <c r="E4" s="29" t="s">
        <v>91</v>
      </c>
    </row>
    <row r="5" spans="1:5" ht="19.5" customHeight="1" x14ac:dyDescent="0.25">
      <c r="A5" s="27" t="s">
        <v>36</v>
      </c>
      <c r="B5" s="28" t="s">
        <v>20</v>
      </c>
      <c r="C5" s="29" t="s">
        <v>92</v>
      </c>
      <c r="D5" s="29" t="s">
        <v>12</v>
      </c>
      <c r="E5" s="29" t="s">
        <v>93</v>
      </c>
    </row>
    <row r="6" spans="1:5" ht="19.5" customHeight="1" x14ac:dyDescent="0.25">
      <c r="A6" s="27" t="s">
        <v>57</v>
      </c>
      <c r="B6" s="28" t="s">
        <v>94</v>
      </c>
      <c r="C6" s="29" t="s">
        <v>95</v>
      </c>
      <c r="D6" s="29" t="s">
        <v>96</v>
      </c>
      <c r="E6" s="29" t="s">
        <v>97</v>
      </c>
    </row>
    <row r="7" spans="1:5" ht="19.5" customHeight="1" x14ac:dyDescent="0.25">
      <c r="A7" s="27" t="s">
        <v>73</v>
      </c>
      <c r="B7" s="28" t="s">
        <v>98</v>
      </c>
      <c r="C7" s="29" t="s">
        <v>99</v>
      </c>
      <c r="D7" s="29" t="s">
        <v>12</v>
      </c>
      <c r="E7" s="29" t="s">
        <v>100</v>
      </c>
    </row>
    <row r="8" spans="1:5" ht="19.5" customHeight="1" x14ac:dyDescent="0.25">
      <c r="A8" s="27" t="s">
        <v>75</v>
      </c>
      <c r="B8" s="28" t="s">
        <v>101</v>
      </c>
      <c r="C8" s="29" t="s">
        <v>102</v>
      </c>
      <c r="D8" s="29" t="s">
        <v>12</v>
      </c>
      <c r="E8" s="29" t="s">
        <v>103</v>
      </c>
    </row>
    <row r="9" spans="1:5" ht="19.5" customHeight="1" x14ac:dyDescent="0.25">
      <c r="A9" s="27" t="s">
        <v>104</v>
      </c>
      <c r="B9" s="28" t="s">
        <v>105</v>
      </c>
      <c r="C9" s="29" t="s">
        <v>106</v>
      </c>
      <c r="D9" s="29" t="s">
        <v>107</v>
      </c>
      <c r="E9" s="29" t="s">
        <v>108</v>
      </c>
    </row>
    <row r="10" spans="1:5" ht="19.5" customHeight="1" x14ac:dyDescent="0.25">
      <c r="A10" s="27" t="s">
        <v>109</v>
      </c>
      <c r="B10" s="28" t="s">
        <v>110</v>
      </c>
      <c r="C10" s="29" t="s">
        <v>106</v>
      </c>
      <c r="D10" s="29" t="s">
        <v>96</v>
      </c>
      <c r="E10" s="29" t="s">
        <v>111</v>
      </c>
    </row>
    <row r="11" spans="1:5" ht="19.5" customHeight="1" x14ac:dyDescent="0.25">
      <c r="A11" s="27" t="s">
        <v>112</v>
      </c>
      <c r="B11" s="28" t="s">
        <v>113</v>
      </c>
      <c r="C11" s="29" t="s">
        <v>106</v>
      </c>
      <c r="D11" s="29" t="s">
        <v>12</v>
      </c>
      <c r="E11" s="29" t="s">
        <v>114</v>
      </c>
    </row>
    <row r="12" spans="1:5" ht="19.5" customHeight="1" x14ac:dyDescent="0.25">
      <c r="A12" s="27" t="s">
        <v>115</v>
      </c>
      <c r="B12" s="28" t="s">
        <v>116</v>
      </c>
      <c r="C12" s="29" t="s">
        <v>106</v>
      </c>
      <c r="D12" s="29" t="s">
        <v>107</v>
      </c>
      <c r="E12" s="29" t="s">
        <v>117</v>
      </c>
    </row>
    <row r="13" spans="1:5" ht="19.5" customHeight="1" x14ac:dyDescent="0.25">
      <c r="A13" s="27" t="s">
        <v>118</v>
      </c>
      <c r="B13" s="28" t="s">
        <v>119</v>
      </c>
      <c r="C13" s="29" t="s">
        <v>120</v>
      </c>
      <c r="D13" s="29" t="s">
        <v>121</v>
      </c>
      <c r="E13" s="29" t="s">
        <v>122</v>
      </c>
    </row>
    <row r="14" spans="1:5" ht="19.5" customHeight="1" x14ac:dyDescent="0.25">
      <c r="A14" s="30" t="s">
        <v>123</v>
      </c>
      <c r="B14" s="31" t="s">
        <v>124</v>
      </c>
      <c r="C14" s="32" t="s">
        <v>125</v>
      </c>
      <c r="D14" s="32" t="s">
        <v>51</v>
      </c>
      <c r="E14" s="32" t="s">
        <v>126</v>
      </c>
    </row>
    <row r="15" spans="1:5" ht="19.5" customHeight="1" x14ac:dyDescent="0.25">
      <c r="A15" s="30" t="s">
        <v>127</v>
      </c>
      <c r="B15" s="31" t="s">
        <v>128</v>
      </c>
      <c r="C15" s="32" t="s">
        <v>129</v>
      </c>
      <c r="D15" s="32" t="s">
        <v>51</v>
      </c>
      <c r="E15" s="32" t="s">
        <v>130</v>
      </c>
    </row>
    <row r="16" spans="1:5" ht="19.5" customHeight="1" x14ac:dyDescent="0.25">
      <c r="A16" s="30" t="s">
        <v>131</v>
      </c>
      <c r="B16" s="31" t="s">
        <v>132</v>
      </c>
      <c r="C16" s="32" t="s">
        <v>133</v>
      </c>
      <c r="D16" s="32" t="s">
        <v>51</v>
      </c>
      <c r="E16" s="32" t="s">
        <v>134</v>
      </c>
    </row>
    <row r="17" spans="1:5" ht="19.5" customHeight="1" x14ac:dyDescent="0.25">
      <c r="A17" s="30" t="s">
        <v>135</v>
      </c>
      <c r="B17" s="31" t="s">
        <v>136</v>
      </c>
      <c r="C17" s="32" t="s">
        <v>137</v>
      </c>
      <c r="D17" s="32" t="s">
        <v>138</v>
      </c>
      <c r="E17" s="32" t="s">
        <v>139</v>
      </c>
    </row>
    <row r="18" spans="1:5" ht="19.5" customHeight="1" x14ac:dyDescent="0.25">
      <c r="A18" s="30" t="s">
        <v>140</v>
      </c>
      <c r="B18" s="31" t="s">
        <v>141</v>
      </c>
      <c r="C18" s="32" t="s">
        <v>142</v>
      </c>
      <c r="D18" s="32" t="s">
        <v>143</v>
      </c>
      <c r="E18" s="32" t="s">
        <v>144</v>
      </c>
    </row>
    <row r="19" spans="1:5" ht="19.5" customHeight="1" x14ac:dyDescent="0.25">
      <c r="A19" s="30" t="s">
        <v>145</v>
      </c>
      <c r="B19" s="31" t="s">
        <v>146</v>
      </c>
      <c r="C19" s="32" t="s">
        <v>147</v>
      </c>
      <c r="D19" s="32" t="s">
        <v>148</v>
      </c>
      <c r="E19" s="32" t="s">
        <v>149</v>
      </c>
    </row>
    <row r="20" spans="1:5" ht="19.5" customHeight="1" x14ac:dyDescent="0.25">
      <c r="A20" s="30" t="s">
        <v>150</v>
      </c>
      <c r="B20" s="31" t="s">
        <v>151</v>
      </c>
      <c r="C20" s="32" t="s">
        <v>152</v>
      </c>
      <c r="D20" s="32" t="s">
        <v>148</v>
      </c>
      <c r="E20" s="32" t="s">
        <v>153</v>
      </c>
    </row>
    <row r="21" spans="1:5" ht="19.5" customHeight="1" x14ac:dyDescent="0.25">
      <c r="A21" s="30" t="s">
        <v>154</v>
      </c>
      <c r="B21" s="31" t="s">
        <v>155</v>
      </c>
      <c r="C21" s="32" t="s">
        <v>156</v>
      </c>
      <c r="D21" s="32" t="s">
        <v>51</v>
      </c>
      <c r="E21" s="32" t="s">
        <v>157</v>
      </c>
    </row>
    <row r="22" spans="1:5" ht="19.5" customHeight="1" x14ac:dyDescent="0.25">
      <c r="A22" s="30" t="s">
        <v>158</v>
      </c>
      <c r="B22" s="31" t="s">
        <v>159</v>
      </c>
      <c r="C22" s="32" t="s">
        <v>160</v>
      </c>
      <c r="D22" s="32" t="s">
        <v>51</v>
      </c>
      <c r="E22" s="32" t="s">
        <v>161</v>
      </c>
    </row>
    <row r="23" spans="1:5" ht="19.5" customHeight="1" x14ac:dyDescent="0.25">
      <c r="A23" s="30" t="s">
        <v>162</v>
      </c>
      <c r="B23" s="31" t="s">
        <v>163</v>
      </c>
      <c r="C23" s="32" t="s">
        <v>164</v>
      </c>
      <c r="D23" s="32" t="s">
        <v>143</v>
      </c>
      <c r="E23" s="32" t="s">
        <v>165</v>
      </c>
    </row>
    <row r="24" spans="1:5" ht="19.5" customHeight="1" x14ac:dyDescent="0.25">
      <c r="A24" s="33" t="s">
        <v>166</v>
      </c>
      <c r="B24" s="34" t="s">
        <v>34</v>
      </c>
      <c r="C24" s="35" t="s">
        <v>167</v>
      </c>
      <c r="D24" s="35" t="s">
        <v>168</v>
      </c>
      <c r="E24" s="35" t="s">
        <v>169</v>
      </c>
    </row>
    <row r="25" spans="1:5" ht="19.5" customHeight="1" x14ac:dyDescent="0.25">
      <c r="A25" s="36" t="s">
        <v>170</v>
      </c>
      <c r="B25" s="37" t="s">
        <v>171</v>
      </c>
      <c r="C25" s="38" t="s">
        <v>172</v>
      </c>
      <c r="D25" s="38" t="s">
        <v>173</v>
      </c>
      <c r="E25" s="38" t="s">
        <v>174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B9C9-23C6-4608-8A1B-611758FC9BA3}">
  <dimension ref="A1"/>
  <sheetViews>
    <sheetView workbookViewId="0">
      <selection activeCell="D5" sqref="D5"/>
    </sheetView>
  </sheetViews>
  <sheetFormatPr defaultRowHeight="15" x14ac:dyDescent="0.25"/>
  <sheetData>
    <row r="1" spans="1:1" x14ac:dyDescent="0.25">
      <c r="A1" s="41" t="s">
        <v>187</v>
      </c>
    </row>
  </sheetData>
  <hyperlinks>
    <hyperlink ref="A1" r:id="rId1" xr:uid="{C496E993-1096-470A-ABA3-C3E7B89F53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Phân Công</vt:lpstr>
      <vt:lpstr>Stack Công Nghệ</vt:lpstr>
      <vt:lpstr>GITHUB_LINK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Phát Phạm</cp:lastModifiedBy>
  <cp:revision>0</cp:revision>
  <dcterms:created xsi:type="dcterms:W3CDTF">2026-03-19T07:09:01Z</dcterms:created>
  <dcterms:modified xsi:type="dcterms:W3CDTF">2026-04-05T02:39:13Z</dcterms:modified>
  <dc:language>en-US</dc:language>
</cp:coreProperties>
</file>